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ccess Criteria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A44"/>
      <sz val="16"/>
    </font>
    <font>
      <name val="Arial"/>
      <charset val="1"/>
      <family val="0"/>
      <i val="1"/>
      <color rgb="FF47556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75569"/>
      <sz val="10"/>
    </font>
  </fonts>
  <fills count="10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475569"/>
        <bgColor rgb="FF6B7280"/>
      </patternFill>
    </fill>
    <fill>
      <patternFill patternType="solid">
        <fgColor rgb="FFFDF2D0"/>
        <bgColor rgb="FFFFF2CC"/>
      </patternFill>
    </fill>
    <fill>
      <patternFill patternType="solid">
        <fgColor rgb="FFDCE9D5"/>
        <bgColor rgb="FFD9EAD3"/>
      </patternFill>
    </fill>
    <fill>
      <patternFill patternType="solid">
        <fgColor rgb="FFCBD9F5"/>
        <bgColor rgb="FFDCE9D5"/>
      </patternFill>
    </fill>
    <fill>
      <patternFill patternType="solid">
        <fgColor rgb="FFD9EAD3"/>
        <bgColor rgb="FFDCE9D5"/>
      </patternFill>
    </fill>
    <fill>
      <patternFill patternType="solid">
        <fgColor rgb="FFFFF2CC"/>
        <bgColor rgb="FFFDF2D0"/>
      </patternFill>
    </fill>
    <fill>
      <patternFill patternType="solid">
        <fgColor rgb="FFF3F4F6"/>
        <bgColor rgb="FFFFFFFF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7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7" borderId="1" applyAlignment="1" pivotButton="0" quotePrefix="0" xfId="0">
      <alignment horizontal="general" vertical="bottom"/>
    </xf>
    <xf numFmtId="0" fontId="0" fillId="0" borderId="7" pivotButton="0" quotePrefix="0" xfId="0"/>
    <xf numFmtId="0" fontId="0" fillId="0" borderId="8" pivotButton="0" quotePrefix="0" xfId="0"/>
    <xf numFmtId="0" fontId="9" fillId="8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color rgb="FF6B7280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3F4F6"/>
      <rgbColor rgb="FF660066"/>
      <rgbColor rgb="FFFF8080"/>
      <rgbColor rgb="FF0066CC"/>
      <rgbColor rgb="FFCBD9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D5"/>
      <rgbColor rgb="FFD9EAD3"/>
      <rgbColor rgb="FFFDF2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7556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26" min="1" max="1"/>
    <col width="22" customWidth="1" style="26" min="2" max="2"/>
    <col width="32" customWidth="1" style="26" min="3" max="3"/>
    <col width="30" customWidth="1" style="26" min="4" max="4"/>
    <col width="10" customWidth="1" style="26" min="5" max="5"/>
    <col width="36" customWidth="1" style="26" min="6" max="7"/>
    <col width="30" customWidth="1" style="26" min="8" max="9"/>
    <col width="34" customWidth="1" style="26" min="10" max="10"/>
  </cols>
  <sheetData>
    <row r="1" ht="19.7" customHeight="1" s="27">
      <c r="A1" s="28" t="inlineStr">
        <is>
          <t>Success Criteria Grid</t>
        </is>
      </c>
    </row>
    <row r="2" ht="15" customHeight="1" s="27">
      <c r="A2" s="29" t="inlineStr">
        <is>
          <t>Each route cell holds what we have measured or seen. Cells start with their evidence tag. Nothing here is scored 1-5.</t>
        </is>
      </c>
    </row>
    <row r="4" ht="39.75" customHeight="1" s="27">
      <c r="A4" s="30" t="inlineStr">
        <is>
          <t>Group</t>
        </is>
      </c>
      <c r="B4" s="30" t="inlineStr">
        <is>
          <t>Criteria</t>
        </is>
      </c>
      <c r="C4" s="30" t="inlineStr">
        <is>
          <t>Definition</t>
        </is>
      </c>
      <c r="D4" s="30" t="inlineStr">
        <is>
          <t>Unit of measurement</t>
        </is>
      </c>
      <c r="E4" s="30" t="inlineStr">
        <is>
          <t>Better when</t>
        </is>
      </c>
      <c r="F4" s="30" t="inlineStr">
        <is>
          <t>Database only
(Claude + warehouse)</t>
        </is>
      </c>
      <c r="G4" s="31" t="inlineStr">
        <is>
          <t>Manual layer
(Cube tested)</t>
        </is>
      </c>
      <c r="H4" s="30" t="inlineStr">
        <is>
          <t>Omni MCP
(Claude + Omni)</t>
        </is>
      </c>
      <c r="I4" s="31" t="inlineStr">
        <is>
          <t>Omni</t>
        </is>
      </c>
      <c r="J4" s="30" t="inlineStr">
        <is>
          <t>How to test</t>
        </is>
      </c>
    </row>
    <row r="5" ht="72" customHeight="1" s="27">
      <c r="A5" s="32" t="inlineStr">
        <is>
          <t>Admin Overhead</t>
        </is>
      </c>
      <c r="B5" s="33" t="inlineStr">
        <is>
          <t>Setup Effort</t>
        </is>
      </c>
      <c r="C5" s="34" t="inlineStr">
        <is>
          <t>How easily can this be set up?</t>
        </is>
      </c>
      <c r="D5" s="34" t="inlineStr">
        <is>
          <t>Hours (plus # of people)</t>
        </is>
      </c>
      <c r="E5" s="35" t="inlineStr">
        <is>
          <t>Lower</t>
        </is>
      </c>
      <c r="F5" s="36" t="inlineStr">
        <is>
          <t>Asserted: nothing to stand up beyond a warehouse connector; setup time not logged</t>
        </is>
      </c>
      <c r="G5" s="36" t="inlineStr">
        <is>
          <t>Tested: rough, not logged: a couple of half-hours plus about an hour for Snowflake; free Cube needed a Docker container. Connecting Claude Desktop added fixes: macOS blocked the server under ~/Desktop (moved to ~/.cube-mcp), mcp 2.x broke FastMCP (pinned &lt;2), production mode needs a cache driver and a token layer</t>
        </is>
      </c>
      <c r="H5" s="36" t="inlineStr">
        <is>
          <t>Asserted: per Omni docs, official connector or OAuth; the Omni model and topics already existed. Setup time not logged</t>
        </is>
      </c>
      <c r="I5" s="36" t="inlineStr">
        <is>
          <t>Asserted: managed product, modelers own the model; no glue to build. Not timed</t>
        </is>
      </c>
      <c r="J5" s="34" t="inlineStr">
        <is>
          <t>Time log from zero to first trusted dashboard</t>
        </is>
      </c>
    </row>
    <row r="6" ht="72" customHeight="1" s="27">
      <c r="A6" s="37" t="n"/>
      <c r="B6" s="33" t="inlineStr">
        <is>
          <t>Maintainability</t>
        </is>
      </c>
      <c r="C6" s="34" t="inlineStr">
        <is>
          <t>How much work is required to maintain a steady state?</t>
        </is>
      </c>
      <c r="D6" s="34" t="inlineStr">
        <is>
          <t>Expected weekly hours</t>
        </is>
      </c>
      <c r="E6" s="35" t="inlineStr">
        <is>
          <t>Lower</t>
        </is>
      </c>
      <c r="F6" s="36" t="inlineStr">
        <is>
          <t>Asserted: no upkeep because nothing is governed; the cost moves to re-prompting</t>
        </is>
      </c>
      <c r="G6" s="36" t="inlineStr">
        <is>
          <t>Asserted: someone maintains self-hosted Cube every week. Observed upkeep items: re-sync ~/.cube-mcp/server.py after edits, :latest image can change, PAT rotation. Weekly hours not logged</t>
        </is>
      </c>
      <c r="H6" s="36" t="inlineStr">
        <is>
          <t>Tested: observed that two Omni topics over the same table disagree 2x on revenue, so someone has to curate which topics the AI may use. Weekly hours not logged</t>
        </is>
      </c>
      <c r="I6" s="36" t="inlineStr">
        <is>
          <t>Tested: same topic-curation need as the Omni MCP column. Otherwise Asserted: managed product. Weekly hours not logged</t>
        </is>
      </c>
      <c r="J6" s="34" t="inlineStr">
        <is>
          <t>Log upkeep for a few weeks, or estimate with the admin</t>
        </is>
      </c>
    </row>
    <row r="7" ht="72" customHeight="1" s="27">
      <c r="A7" s="37" t="n"/>
      <c r="B7" s="33" t="inlineStr">
        <is>
          <t>Scalability</t>
        </is>
      </c>
      <c r="C7" s="34" t="inlineStr">
        <is>
          <t>How easily can I go from one user to hundreds?</t>
        </is>
      </c>
      <c r="D7" s="34" t="inlineStr">
        <is>
          <t>Hours per added user</t>
        </is>
      </c>
      <c r="E7" s="35" t="inlineStr">
        <is>
          <t>Lower</t>
        </is>
      </c>
      <c r="F7" s="36" t="inlineStr">
        <is>
          <t>Tested: every user needs access to the warehouse schema. The role used (DBT_DEMO_ROLE) owns ORDER_ITEMS and sees 71 schemas; 0 row-access and 0 masking policies</t>
        </is>
      </c>
      <c r="G7" s="36" t="inlineStr">
        <is>
          <t>Tested: dev-mode lab, 20 concurrent users with their own tokens: 0.66 s wall for the same query (cache-served); minting 100 tokens took 2 ms. Identity and SSO for real users is separate work (not built); production mode needs a per-user token with a country claim, and our MCP wrapper mints one shared token</t>
        </is>
      </c>
      <c r="H7" s="36" t="inlineStr">
        <is>
          <t>Asserted: per Omni docs, each user connects with OAuth and queries run under that user's permissions. Onboarding time not tested</t>
        </is>
      </c>
      <c r="I7" s="36" t="inlineStr">
        <is>
          <t>Asserted: per Omni docs, SAML/OIDC and SCIM provisioning. Not tested</t>
        </is>
      </c>
      <c r="J7" s="34" t="inlineStr">
        <is>
          <t>Time to onboard the next 10 or 100 users</t>
        </is>
      </c>
    </row>
    <row r="8" ht="72" customHeight="1" s="27">
      <c r="A8" s="37" t="n"/>
      <c r="B8" s="33" t="inlineStr">
        <is>
          <t>Centralization</t>
        </is>
      </c>
      <c r="C8" s="34" t="inlineStr">
        <is>
          <t>How well can I do everything from one place?</t>
        </is>
      </c>
      <c r="D8" s="34" t="inlineStr">
        <is>
          <t># of tools / windows</t>
        </is>
      </c>
      <c r="E8" s="35" t="inlineStr">
        <is>
          <t>Lower</t>
        </is>
      </c>
      <c r="F8" s="36" t="inlineStr">
        <is>
          <t>Tested: 2 (warehouse, Claude)</t>
        </is>
      </c>
      <c r="G8" s="36" t="inlineStr">
        <is>
          <t>Tested: 3 plus Docker (warehouse, Cube, Claude), plus the MCP wrapper process and Git; several people's worth of handoffs</t>
        </is>
      </c>
      <c r="H8" s="36" t="inlineStr">
        <is>
          <t>Asserted: 3 (warehouse, Omni, Claude)</t>
        </is>
      </c>
      <c r="I8" s="36" t="inlineStr">
        <is>
          <t>Asserted: 2 (warehouse, Omni)</t>
        </is>
      </c>
      <c r="J8" s="34" t="inlineStr">
        <is>
          <t>Count tools touched from question, to shared dashboard, to a changed metric</t>
        </is>
      </c>
    </row>
    <row r="9" ht="72" customHeight="1" s="27">
      <c r="A9" s="37" t="n"/>
      <c r="B9" s="33" t="inlineStr">
        <is>
          <t>Adding a metric (new)</t>
        </is>
      </c>
      <c r="C9" s="34" t="inlineStr">
        <is>
          <t>How fast can a new metric exist, and who has to be involved?</t>
        </is>
      </c>
      <c r="D9" s="34" t="inlineStr">
        <is>
          <t>Hours, # of people, # of places edited</t>
        </is>
      </c>
      <c r="E9" s="35" t="inlineStr">
        <is>
          <t>Lower</t>
        </is>
      </c>
      <c r="F9" s="36" t="inlineStr">
        <is>
          <t>Asserted: no place to define a metric; every dashboard carries its own SQL or re-prompts</t>
        </is>
      </c>
      <c r="G9" s="36" t="inlineStr">
        <is>
          <t>Tested: 1 person (a data engineer), 1 file, 1 block, 3.4 s from edit to verified, 3 of 3 dashboard queries changed. Request-to-live (ticket, push, deploy) not timed; a business user cannot edit YAML</t>
        </is>
      </c>
      <c r="H9" s="36" t="inlineStr">
        <is>
          <t>Tested: same change as the Omni column: 1 file, 1 block, 5.6 s from edit to verified on a throwaway branch via the Omni model API; Claude reads the new definition through MCP. Business-user UI path not driven</t>
        </is>
      </c>
      <c r="I9" s="36" t="inlineStr">
        <is>
          <t>Tested (modeler via the Omni CLI, not the UI): on a throwaway branch, 1 file, 1 block, 5.6 s from edit to verified; validation passed with no errors; 3 of 3 queries changed; main untouched; branch deleted. Result matched Cube's after-change total (5,754,404.54). Business-user path in the UI is Documented (docs.omni.co branch mode), not driven</t>
        </is>
      </c>
      <c r="J9" s="34" t="inlineStr">
        <is>
          <t>Add one metric; count who and what it takes</t>
        </is>
      </c>
    </row>
    <row r="10" ht="72" customHeight="1" s="27">
      <c r="A10" s="37" t="n"/>
      <c r="B10" s="33" t="inlineStr">
        <is>
          <t>Program cost (new)</t>
        </is>
      </c>
      <c r="C10" s="34" t="inlineStr">
        <is>
          <t>What does the whole setup cost per month?</t>
        </is>
      </c>
      <c r="D10" s="34" t="inlineStr">
        <is>
          <t>$ per month (licenses, hosting, tokens, compute)</t>
        </is>
      </c>
      <c r="E10" s="35" t="inlineStr">
        <is>
          <t>Lower</t>
        </is>
      </c>
      <c r="F10" s="36" t="inlineStr">
        <is>
          <t>Asserted: Claude plan plus tokens plus warehouse compute; no caching, so compute grows with use</t>
        </is>
      </c>
      <c r="G10" s="36" t="inlineStr">
        <is>
          <t>Tested: free Cube Core used; monthly total not computed. Cube Cloud pricing per cube.dev/pricing: Free $0 (1,000 requests/day, 5 workbooks, MCP server, 1-day query history), Starter $40/developer/month, Premium $80/developer/month plus Explorer $40 and Viewer $20 per user, dedicated deployment $1.20/hour</t>
        </is>
      </c>
      <c r="H10" s="36" t="inlineStr">
        <is>
          <t>Asserted: per Omni docs the platform licence is not public; AI usage is credit-based with overage at $1.00 per credit (docs.omni.co/ai/settings/usage); Claude plan billed separately. Monthly total not computed</t>
        </is>
      </c>
      <c r="I10" s="36" t="inlineStr">
        <is>
          <t>Asserted: same as the Omni MCP column. Monthly total not computed</t>
        </is>
      </c>
      <c r="J10" s="34" t="inlineStr">
        <is>
          <t>Add up the monthly bills per route</t>
        </is>
      </c>
    </row>
    <row r="11" ht="72" customHeight="1" s="27">
      <c r="A11" s="38" t="n"/>
      <c r="B11" s="33" t="inlineStr">
        <is>
          <t>Opportunity cost (new)</t>
        </is>
      </c>
      <c r="C11" s="34" t="inlineStr">
        <is>
          <t>What does my team not get done?</t>
        </is>
      </c>
      <c r="D11" s="34" t="inlineStr">
        <is>
          <t>Data engineer + modeler hours per month on upkeep</t>
        </is>
      </c>
      <c r="E11" s="35" t="inlineStr">
        <is>
          <t>Lower</t>
        </is>
      </c>
      <c r="F11" s="36" t="inlineStr">
        <is>
          <t>Not tested: calculated from rows 5-6 once weekly hours are logged; no hours logged yet</t>
        </is>
      </c>
      <c r="G11" s="36" t="inlineStr">
        <is>
          <t>Not tested: calculated from rows 5-6 once weekly hours are logged. Known input: rough Cube Core build of about one session plus about an hour for Snowflake; upkeep hours not logged</t>
        </is>
      </c>
      <c r="H11" s="36" t="inlineStr">
        <is>
          <t>Not tested: calculated from rows 5-6; Omni is a managed product per its docs, so upkeep is expected to be modeler time only (Asserted)</t>
        </is>
      </c>
      <c r="I11" s="36" t="inlineStr">
        <is>
          <t>Not tested: calculated from rows 5-6; same as the Omni MCP column</t>
        </is>
      </c>
      <c r="J11" s="34" t="inlineStr">
        <is>
          <t>Calculated from the hours rows above, not a separate test</t>
        </is>
      </c>
    </row>
    <row r="12" ht="72" customHeight="1" s="27">
      <c r="A12" s="39" t="inlineStr">
        <is>
          <t>Value from Data</t>
        </is>
      </c>
      <c r="B12" s="40" t="inlineStr">
        <is>
          <t>Accuracy</t>
        </is>
      </c>
      <c r="C12" s="41" t="inlineStr">
        <is>
          <t>Is it the right answer?</t>
        </is>
      </c>
      <c r="D12" s="41" t="inlineStr">
        <is>
          <t>% of answers matching the answer-key SQL</t>
        </is>
      </c>
      <c r="E12" s="42" t="inlineStr">
        <is>
          <t>Higher</t>
        </is>
      </c>
      <c r="F12" s="36" t="inlineStr">
        <is>
          <t>Tested: 60.0% (18/30 runs, 10 questions x 3). Right on the 6 non-definition questions, 0/12 on the 4 definition questions: used raw SALE_PRICE (2x the governed revenue)</t>
        </is>
      </c>
      <c r="G12" s="36" t="inlineStr">
        <is>
          <t>Tested: 100% (30/30 runs, 10 questions x 3); also 6/6 golden SQL tests. The model is a port of the key's own definitions, so a match is expected</t>
        </is>
      </c>
      <c r="H12" s="36" t="inlineStr">
        <is>
          <t>Tested: 36.7% (11/30) when the agent picks the topic (it chose analytics_prod_ecomm__order_items_sv, where revenue is not halved); 93.3% (28/30) when pointed at the Sales topic. Only miss: Q7 return rate (about 1.00 vs 0.95 key)</t>
        </is>
      </c>
      <c r="I12" s="36" t="inlineStr">
        <is>
          <t>Not tested: Omni's in-app chat was not driven. Per Omni docs askOmni and the in-app agent use the same AI pipeline but are not guaranteed identical, and MCP can be scoped to a model and topic through setup headers (a likely fix for the unguided miss). The Omni MCP column is the measured proxy: 36.7% unguided, 93.3% pinned</t>
        </is>
      </c>
      <c r="J12" s="41" t="inlineStr">
        <is>
          <t>Golden questions checked against a known-correct SQL</t>
        </is>
      </c>
    </row>
    <row r="13" ht="72" customHeight="1" s="27">
      <c r="A13" s="37" t="n"/>
      <c r="B13" s="40" t="inlineStr">
        <is>
          <t>Consistency</t>
        </is>
      </c>
      <c r="C13" s="41" t="inlineStr">
        <is>
          <t>Is it right every time?</t>
        </is>
      </c>
      <c r="D13" s="41" t="inlineStr">
        <is>
          <t>% of repeated runs with the same definition and result</t>
        </is>
      </c>
      <c r="E13" s="42" t="inlineStr">
        <is>
          <t>Higher</t>
        </is>
      </c>
      <c r="F13" s="36" t="inlineStr">
        <is>
          <t>Tested: 100% (10/10 questions identical across 3 runs), including the 4 definition questions that were consistently wrong</t>
        </is>
      </c>
      <c r="G13" s="36" t="inlineStr">
        <is>
          <t>Tested: 100% (10/10 questions identical across 3 runs)</t>
        </is>
      </c>
      <c r="H13" s="36" t="inlineStr">
        <is>
          <t>Tested: 90% (9/10 questions identical across 3 runs), both agent-picked and pinned topic</t>
        </is>
      </c>
      <c r="I13" s="36" t="inlineStr">
        <is>
          <t>Not tested: in-app chat not driven; see the accuracy row. The Omni MCP column is the proxy: 90% consistency</t>
        </is>
      </c>
      <c r="J13" s="41" t="inlineStr">
        <is>
          <t>Each question 3 times per route, across Claude, MCP and the UI</t>
        </is>
      </c>
    </row>
    <row r="14" ht="72" customHeight="1" s="27">
      <c r="A14" s="37" t="n"/>
      <c r="B14" s="40" t="inlineStr">
        <is>
          <t>Auditability</t>
        </is>
      </c>
      <c r="C14" s="41" t="inlineStr">
        <is>
          <t>Can I understand how the answer was created?</t>
        </is>
      </c>
      <c r="D14" s="41" t="inlineStr">
        <is>
          <t># of 3 checks passed (definition, SQL, source tables visible to a non-technical user)</t>
        </is>
      </c>
      <c r="E14" s="42" t="inlineStr">
        <is>
          <t>Higher</t>
        </is>
      </c>
      <c r="F14" s="36" t="inlineStr">
        <is>
          <t>Tested: unformatted SQL plus JavaScript formulas running in the browser; no auditability for non-technical users</t>
        </is>
      </c>
      <c r="G14" s="36" t="inlineStr">
        <is>
          <t>Tested: SQL is visible through our MCP wrapper (query_data returns it) and in each Claude Dashboards tile; the YAML and Git history are not readable by a non-technical user. Earlier observation (semantic query only, not the SQL) was on a different path. Non-technical-user check not run</t>
        </is>
      </c>
      <c r="H14" s="36" t="inlineStr">
        <is>
          <t>Tested: Omni's agent returned the SQL and a field-definition table in its answer. Non-technical-user check not run</t>
        </is>
      </c>
      <c r="I14" s="36" t="inlineStr">
        <is>
          <t>Asserted: end users can see what is going on</t>
        </is>
      </c>
      <c r="J14" s="41" t="inlineStr">
        <is>
          <t>Ask a non-technical user to find all three</t>
        </is>
      </c>
    </row>
    <row r="15" ht="72" customHeight="1" s="27">
      <c r="A15" s="37" t="n"/>
      <c r="B15" s="40" t="inlineStr">
        <is>
          <t>Traceability</t>
        </is>
      </c>
      <c r="C15" s="41" t="inlineStr">
        <is>
          <t>Can I tell how an answer changed over time?</t>
        </is>
      </c>
      <c r="D15" s="41" t="inlineStr">
        <is>
          <t>Minutes to find what changed, when and by whom (or 'not possible')</t>
        </is>
      </c>
      <c r="E15" s="42" t="inlineStr">
        <is>
          <t>Lower</t>
        </is>
      </c>
      <c r="F15" s="36" t="inlineStr">
        <is>
          <t>Tested: no version control; the only way back is prompting 'go back to the previous version'</t>
        </is>
      </c>
      <c r="G15" s="36" t="inlineStr">
        <is>
          <t>Tested: `git log -S` found the commit, author and date for an ai_context change in 0.08 s. Engineer-only: a non-technical user cannot read Git. Claude dashboard changes are not traceable this way</t>
        </is>
      </c>
      <c r="H15" s="36" t="inlineStr">
        <is>
          <t>Asserted: per Omni docs, revision history with diffs and restore, branches, optional Git (docs.omni.co/modeling/develop/history). Not tested</t>
        </is>
      </c>
      <c r="I15" s="36" t="inlineStr">
        <is>
          <t>Asserted: per Omni docs, revision history with diffs and restore, branches, optional Git. Not tested</t>
        </is>
      </c>
      <c r="J15" s="41" t="inlineStr">
        <is>
          <t>Change a metric, then try to trace it</t>
        </is>
      </c>
    </row>
    <row r="16" ht="72" customHeight="1" s="27">
      <c r="A16" s="37" t="n"/>
      <c r="B16" s="40" t="inlineStr">
        <is>
          <t>Improvability</t>
        </is>
      </c>
      <c r="C16" s="41" t="inlineStr">
        <is>
          <t>How easily can I influence future answers?</t>
        </is>
      </c>
      <c r="D16" s="41" t="inlineStr">
        <is>
          <t>Hours and # of people to change a future answer</t>
        </is>
      </c>
      <c r="E16" s="42" t="inlineStr">
        <is>
          <t>Lower</t>
        </is>
      </c>
      <c r="F16" s="36" t="inlineStr">
        <is>
          <t>Tested: nothing changes without spending more tokens; no point-and-click UI</t>
        </is>
      </c>
      <c r="G16" s="36" t="inlineStr">
        <is>
          <t>Tested: an engineer edits one block in 3.4 s, but a business user cannot; the request path (ticket, edit, push) was not timed</t>
        </is>
      </c>
      <c r="H16" s="36" t="inlineStr">
        <is>
          <t>Tested (modeler path): changing a definition took 5.6 s and one block on a branch (see the metric row). Business-user UI path is Documented, not driven</t>
        </is>
      </c>
      <c r="I16" s="36" t="inlineStr">
        <is>
          <t>Tested (modeler path via the Omni CLI): one block, 5.6 s, validated, 3 of 3 queries changed. Business-user UI path is Documented (branch mode), not driven</t>
        </is>
      </c>
      <c r="J16" s="41" t="inlineStr">
        <is>
          <t>An end user tries to add or fix a metric</t>
        </is>
      </c>
    </row>
    <row r="17" ht="72" customHeight="1" s="27">
      <c r="A17" s="37" t="n"/>
      <c r="B17" s="40" t="inlineStr">
        <is>
          <t>Metric change propagation (new)</t>
        </is>
      </c>
      <c r="C17" s="41" t="inlineStr">
        <is>
          <t>Change one metric: how many dashboards do I have to babysit?</t>
        </is>
      </c>
      <c r="D17" s="41" t="inlineStr">
        <is>
          <t># of dashboards fixed by hand after one change</t>
        </is>
      </c>
      <c r="E17" s="42" t="inlineStr">
        <is>
          <t>Lower</t>
        </is>
      </c>
      <c r="F17" s="36" t="inlineStr">
        <is>
          <t>Asserted: each Claude dashboard is its own artifact, so dashboards can sprawl</t>
        </is>
      </c>
      <c r="G17" s="36" t="inlineStr">
        <is>
          <t>Tested: after one metric change, 0 dashboards needed fixing by hand (3 of 3 dashboard queries changed automatically)</t>
        </is>
      </c>
      <c r="H17" s="36" t="inlineStr">
        <is>
          <t>Tested: after one change on a branch, 3 of 3 queries changed and 0 dashboards were fixed by hand (same model definition)</t>
        </is>
      </c>
      <c r="I17" s="36" t="inlineStr">
        <is>
          <t>Tested: after one change on a branch, 3 of 3 queries changed and 0 were fixed by hand</t>
        </is>
      </c>
      <c r="J17" s="41" t="inlineStr">
        <is>
          <t>Change one definition used on 3 dashboards</t>
        </is>
      </c>
    </row>
    <row r="18" ht="72" customHeight="1" s="27">
      <c r="A18" s="37" t="n"/>
      <c r="B18" s="40" t="inlineStr">
        <is>
          <t>Security</t>
        </is>
      </c>
      <c r="C18" s="41" t="inlineStr">
        <is>
          <t>How much effort is required to ensure the scope of my answer?</t>
        </is>
      </c>
      <c r="D18" s="41" t="inlineStr">
        <is>
          <t>Pass / fail, plus # of leaks found</t>
        </is>
      </c>
      <c r="E18" s="42" t="inlineStr">
        <is>
          <t>Pass</t>
        </is>
      </c>
      <c r="F18" s="36" t="inlineStr">
        <is>
          <t>Tested: no permissions system (RLS, RBAC) between Claude and the data; no deterministic way to make the AI enforce permissions; every user needs warehouse access. Role owns ORDER_ITEMS; 0 row-access and 0 masking policies. FAIL</t>
        </is>
      </c>
      <c r="G18" s="36" t="inlineStr">
        <is>
          <t>Tested: as configured (dev mode) no token and a forged token return all data. In production mode both get 403 and a country=UK token sees UK only ($1,045,428.08), but a token with no country claim sees everything, and our MCP wrapper mints exactly that. FAIL as configured</t>
        </is>
      </c>
      <c r="H18" s="36" t="inlineStr">
        <is>
          <t>Not tested: attempted. A restricted-user test needs impersonation, which Omni docs say requires an Organization API key (userId on query run); our CLI login is an OAuth user token and the CLI exposes no userId. Per docs, MCP queries run under the signed-in user's permissions and row-level access filters apply</t>
        </is>
      </c>
      <c r="I18" s="36" t="inlineStr">
        <is>
          <t>Not tested: same blocker as the Omni MCP column (needs an Organization API key and a test user). Per docs: access filters from user attributes, access grants, SAML/OIDC, SCIM; AI respects permitted topics (docs.omni.co/ai/security)</t>
        </is>
      </c>
      <c r="J18" s="41" t="inlineStr">
        <is>
          <t>Restricted-user test: try to reach data that user should not see</t>
        </is>
      </c>
    </row>
    <row r="19" ht="72" customHeight="1" s="27">
      <c r="A19" s="37" t="n"/>
      <c r="B19" s="40" t="inlineStr">
        <is>
          <t>Performance</t>
        </is>
      </c>
      <c r="C19" s="41" t="inlineStr">
        <is>
          <t>How quickly can I get answers?</t>
        </is>
      </c>
      <c r="D19" s="41" t="inlineStr">
        <is>
          <t>Seconds (median of 5 runs)</t>
        </is>
      </c>
      <c r="E19" s="42" t="inlineStr">
        <is>
          <t>Lower</t>
        </is>
      </c>
      <c r="F19" s="36" t="inlineStr">
        <is>
          <t>Tested: no caching layer in Claude's own path. Direct warehouse query median 0.26 s with the result cache off and 0.18 s with it on (5 runs); 14.9 s per answer end to end (30 runs) includes Claude's time</t>
        </is>
      </c>
      <c r="G19" s="36" t="inlineStr">
        <is>
          <t>Tested: Cube query median 0.37 s cold (5 distinct queries) and 0.015 s cached (5 runs) via REST; 9.0 s per answer end to end (30 runs) includes Claude's time</t>
        </is>
      </c>
      <c r="H19" s="36" t="inlineStr">
        <is>
          <t>Tested: Omni semantic query median 1.76 s over 5 runs (all cache MISS); 10 concurrent queries 3.0 s wall. Per answer through the MCP agent: 34.2 s (agent picks topic) and 37.0 s (pinned), 30 runs each, includes Claude's time</t>
        </is>
      </c>
      <c r="I19" s="36" t="inlineStr">
        <is>
          <t>Tested (query engine only): Omni semantic query median 1.76 s (5 runs, cache MISS). In-app chat not driven</t>
        </is>
      </c>
      <c r="J19" s="41" t="inlineStr">
        <is>
          <t>Time the same question repeatedly</t>
        </is>
      </c>
    </row>
    <row r="20" ht="72" customHeight="1" s="27">
      <c r="A20" s="38" t="n"/>
      <c r="B20" s="40" t="inlineStr">
        <is>
          <t>Cost per answer</t>
        </is>
      </c>
      <c r="C20" s="41" t="inlineStr">
        <is>
          <t>What does getting an answer cost me?</t>
        </is>
      </c>
      <c r="D20" s="41" t="inlineStr">
        <is>
          <t>$ per answer (tokens plus compute)</t>
        </is>
      </c>
      <c r="E20" s="42" t="inlineStr">
        <is>
          <t>Lower</t>
        </is>
      </c>
      <c r="F20" s="36" t="inlineStr">
        <is>
          <t>Tested: $0.123 per answer (model cost at list price, 30 runs); warehouse compute not included</t>
        </is>
      </c>
      <c r="G20" s="36" t="inlineStr">
        <is>
          <t>Tested: $0.048 per answer (model cost at list price, 30 runs); warehouse compute not included</t>
        </is>
      </c>
      <c r="H20" s="36" t="inlineStr">
        <is>
          <t>Tested: $0.158 per answer (agent picks topic), $0.159 (pinned), 30 runs each; warehouse compute not included</t>
        </is>
      </c>
      <c r="I20" s="36" t="inlineStr">
        <is>
          <t>Not tested: in-app chat. Omni bills AI by credit ($1.00 per credit overage, docs.omni.co/ai/settings/usage); credits per answer not measured. The Omni MCP column's $0.158 is model cost only</t>
        </is>
      </c>
      <c r="J20" s="41" t="inlineStr">
        <is>
          <t>Tokens plus warehouse compute for a standard question</t>
        </is>
      </c>
    </row>
    <row r="21" ht="72" customHeight="1" s="27">
      <c r="A21" s="43" t="inlineStr">
        <is>
          <t>BI Functionality</t>
        </is>
      </c>
      <c r="B21" s="44" t="inlineStr">
        <is>
          <t>Ease of Use</t>
        </is>
      </c>
      <c r="C21" s="45" t="inlineStr">
        <is>
          <t>How easily can I get to a desired outcome?</t>
        </is>
      </c>
      <c r="D21" s="45" t="inlineStr">
        <is>
          <t>Minutes for a non-technical user to finish a standard task</t>
        </is>
      </c>
      <c r="E21" s="46" t="inlineStr">
        <is>
          <t>Lower</t>
        </is>
      </c>
      <c r="F21" s="36" t="inlineStr">
        <is>
          <t>Tested: no point-and-click UI</t>
        </is>
      </c>
      <c r="G21" s="36" t="inlineStr">
        <is>
          <t>Not tested: no non-technical user tried a task. Observed: one chat prompt built the whole dashboard (KPI row plus 5 charts) in Claude Dashboards; changing a metric means a YAML edit by an engineer</t>
        </is>
      </c>
      <c r="H21" s="36" t="inlineStr">
        <is>
          <t>Not tested: no non-technical user trial. Per docs the Claude connector is 4 steps: add the connector, authorize in Omni, enable it in Claude, ask (docs.omni.co/ai/mcp/claude-desktop). We used it with no extra setup</t>
        </is>
      </c>
      <c r="I21" s="36" t="inlineStr">
        <is>
          <t>Asserted: a UI for end users to iterate quickly</t>
        </is>
      </c>
      <c r="J21" s="45" t="inlineStr">
        <is>
          <t>Give 2 or 3 users the same task</t>
        </is>
      </c>
    </row>
    <row r="22" ht="72" customHeight="1" s="27">
      <c r="A22" s="37" t="n"/>
      <c r="B22" s="44" t="inlineStr">
        <is>
          <t>Shareability</t>
        </is>
      </c>
      <c r="C22" s="45" t="inlineStr">
        <is>
          <t>How easily can I share what I build?</t>
        </is>
      </c>
      <c r="D22" s="45" t="inlineStr">
        <is>
          <t># of steps to share, and permissions held (Y/N)</t>
        </is>
      </c>
      <c r="E22" s="46" t="inlineStr">
        <is>
          <t>Lower</t>
        </is>
      </c>
      <c r="F22" s="36" t="inlineStr">
        <is>
          <t>Tested: no links, schedules or downloads; how sharing works in Claude is still an open question</t>
        </is>
      </c>
      <c r="G22" s="36" t="inlineStr">
        <is>
          <t>Tested: Claude Dashboards is private ('Only you') by default with a Share button. Our dashboard's Cube queries showed 'This query isn't refreshing automatically', because the Cube MCP runs locally (stdio). Per third-party coverage (Tabular Editor), live dashboards need a remotely hosted MCP and viewers use their own connection; local MCP only feeds extracts. Sharing live Cube data needs a hosted MCP. Steps not counted</t>
        </is>
      </c>
      <c r="H22" s="36" t="inlineStr">
        <is>
          <t>Asserted: per Omni docs, five sharing routes (Share dialog roles Viewer/Editor/Manager/Owner, folder permissions, scheduled deliveries, PDF/CSV download, embed); for live Claude dashboards each query runs with the viewer's own connection (third-party). Not tested</t>
        </is>
      </c>
      <c r="I22" s="36" t="inlineStr">
        <is>
          <t>Asserted: per Omni docs, five sharing routes: share link with roles, folder permissions, scheduled deliveries (File &gt; Deliveries &amp; Alerts), PDF/CSV download, embed. Not tested</t>
        </is>
      </c>
      <c r="J22" s="45" t="inlineStr">
        <is>
          <t>Share with a second user and check what they see</t>
        </is>
      </c>
    </row>
    <row r="23" ht="72" customHeight="1" s="27">
      <c r="A23" s="37" t="n"/>
      <c r="B23" s="44" t="inlineStr">
        <is>
          <t>Modularity</t>
        </is>
      </c>
      <c r="C23" s="45" t="inlineStr">
        <is>
          <t>How easily can I modify what I build?</t>
        </is>
      </c>
      <c r="D23" s="45" t="inlineStr">
        <is>
          <t>Minutes per change, # of rebuilds</t>
        </is>
      </c>
      <c r="E23" s="46" t="inlineStr">
        <is>
          <t>Lower</t>
        </is>
      </c>
      <c r="F23" s="36" t="inlineStr">
        <is>
          <t>Tested: every change needs a prompt and spends tokens</t>
        </is>
      </c>
      <c r="G23" s="36" t="inlineStr">
        <is>
          <t>Not tested: swapping a metric or filter on a finished dashboard not tried. Observed: a metric change is one YAML block in 3.4 s; per third-party coverage the Claude dashboard page 'can currently only be changed by Claude itself'</t>
        </is>
      </c>
      <c r="H23" s="36" t="inlineStr">
        <is>
          <t>Not tested: not tried on a finished Claude dashboard; same front end as the Cube column. Metric swap in Omni is one block, 5.6 s (Tested, branch)</t>
        </is>
      </c>
      <c r="I23" s="36" t="inlineStr">
        <is>
          <t>Asserted: a user can take over the wheel on a dashboard</t>
        </is>
      </c>
      <c r="J23" s="45" t="inlineStr">
        <is>
          <t>Swap a metric or filter on a finished dashboard</t>
        </is>
      </c>
    </row>
    <row r="24" ht="72" customHeight="1" s="27">
      <c r="A24" s="37" t="n"/>
      <c r="B24" s="44" t="inlineStr">
        <is>
          <t>Observability</t>
        </is>
      </c>
      <c r="C24" s="45" t="inlineStr">
        <is>
          <t>Can I (or the system) learn from others?</t>
        </is>
      </c>
      <c r="D24" s="45" t="inlineStr">
        <is>
          <t># of 3 checks passed (usage analytics, popular questions, failed questions)</t>
        </is>
      </c>
      <c r="E24" s="46" t="inlineStr">
        <is>
          <t>Higher</t>
        </is>
      </c>
      <c r="F24" s="36" t="inlineStr">
        <is>
          <t>Tested: Snowflake query history shows every SQL statement (we used it to attribute warehouse queries to routes) but not the user's question, ratings or popular or failed questions. 0 of 3 checks</t>
        </is>
      </c>
      <c r="G24" s="36" t="inlineStr">
        <is>
          <t>Tested: Cube Core writes query logs to the container (4,269 query lines so far) but has no usage analytics, popular-question or failed-question view. 0 of 3 checks. Cube Cloud adds query history (1 day Free, 7 days Premium per cube.dev/pricing)</t>
        </is>
      </c>
      <c r="H24" s="36" t="inlineStr">
        <is>
          <t>Asserted: per Omni docs, AI Hub (Quality, Usage, Overview), Analytics &gt; AI logs and Evals cover usage, question logs and failed or low-rated answers; no dedicated popular-questions ranking. Not tested</t>
        </is>
      </c>
      <c r="I24" s="36" t="inlineStr">
        <is>
          <t>Asserted: per Omni docs, AI Hub, Analytics &gt; AI logs and Evals (docs.omni.co/administration/ai-hub). Not tested</t>
        </is>
      </c>
      <c r="J24" s="45" t="inlineStr">
        <is>
          <t>Look for each of the three in the product</t>
        </is>
      </c>
    </row>
    <row r="25" ht="72" customHeight="1" s="27">
      <c r="A25" s="38" t="n"/>
      <c r="B25" s="44" t="inlineStr">
        <is>
          <t>Customization</t>
        </is>
      </c>
      <c r="C25" s="45" t="inlineStr">
        <is>
          <t>Am I limited by a tool or my own creativity?</t>
        </is>
      </c>
      <c r="D25" s="45" t="inlineStr">
        <is>
          <t>% of 10 test requests doable without code</t>
        </is>
      </c>
      <c r="E25" s="46" t="inlineStr">
        <is>
          <t>Higher</t>
        </is>
      </c>
      <c r="F25" s="36" t="inlineStr">
        <is>
          <t>Asserted: same Claude Dashboards front end as the Cube column, over the warehouse connector. Not run</t>
        </is>
      </c>
      <c r="G25" s="36" t="inlineStr">
        <is>
          <t>Tested: 5 of 5 requested charts built without code in one prompt (line, bar, horizontal bar, combo, table); the 10-request test not run. Per third-party coverage: d3 only, 8 MB per dataset</t>
        </is>
      </c>
      <c r="H25" s="36" t="inlineStr">
        <is>
          <t>Asserted: same Claude Dashboards front end, over the Omni connector. Not run</t>
        </is>
      </c>
      <c r="I25" s="36" t="inlineStr">
        <is>
          <t>Asserted: per Omni docs, built-in chart types, table calculations, conditional formatting; custom Vega-Lite optional (docs.omni.co/visualize-present/visualizations). Not run</t>
        </is>
      </c>
      <c r="J25" s="45" t="inlineStr">
        <is>
          <t>Pick 10 chart or feature requests and try each</t>
        </is>
      </c>
    </row>
    <row r="27" ht="15" customHeight="1" s="27">
      <c r="B27" s="47" t="inlineStr">
        <is>
          <t>Evidence tally</t>
        </is>
      </c>
    </row>
    <row r="28" ht="15" customHeight="1" s="27">
      <c r="B28" s="48" t="inlineStr">
        <is>
          <t>Tested</t>
        </is>
      </c>
      <c r="F28" s="49">
        <f>COUNTIF(F5:F25,"Tested*")</f>
        <v/>
      </c>
      <c r="G28" s="49">
        <f>COUNTIF(G5:G25,"Tested*")</f>
        <v/>
      </c>
      <c r="H28" s="49">
        <f>COUNTIF(H5:H25,"Tested*")</f>
        <v/>
      </c>
      <c r="I28" s="49">
        <f>COUNTIF(I5:I25,"Tested*")</f>
        <v/>
      </c>
    </row>
    <row r="29" ht="15" customHeight="1" s="27">
      <c r="B29" s="48" t="inlineStr">
        <is>
          <t>Asserted</t>
        </is>
      </c>
      <c r="F29" s="49">
        <f>COUNTIF(F5:F25,"Asserted*")</f>
        <v/>
      </c>
      <c r="G29" s="49">
        <f>COUNTIF(G5:G25,"Asserted*")</f>
        <v/>
      </c>
      <c r="H29" s="49">
        <f>COUNTIF(H5:H25,"Asserted*")</f>
        <v/>
      </c>
      <c r="I29" s="49">
        <f>COUNTIF(I5:I25,"Asserted*")</f>
        <v/>
      </c>
    </row>
    <row r="30" ht="15" customHeight="1" s="27">
      <c r="B30" s="48" t="inlineStr">
        <is>
          <t>Not tested</t>
        </is>
      </c>
      <c r="F30" s="49">
        <f>COUNTIF(F5:F25,"Not tested*")</f>
        <v/>
      </c>
      <c r="G30" s="49">
        <f>COUNTIF(G5:G25,"Not tested*")</f>
        <v/>
      </c>
      <c r="H30" s="49">
        <f>COUNTIF(H5:H25,"Not tested*")</f>
        <v/>
      </c>
      <c r="I30" s="49">
        <f>COUNTIF(I5:I25,"Not tested*")</f>
        <v/>
      </c>
    </row>
    <row r="33" ht="15" customHeight="1" s="27">
      <c r="B33" s="47" t="inlineStr">
        <is>
          <t>Legend</t>
        </is>
      </c>
    </row>
    <row r="34" ht="15" customHeight="1" s="27">
      <c r="B34" s="50" t="inlineStr">
        <is>
          <t>Tested: we saw it hands-on</t>
        </is>
      </c>
      <c r="C34" s="51" t="n"/>
      <c r="D34" s="52" t="n"/>
    </row>
    <row r="35" ht="15" customHeight="1" s="27">
      <c r="B35" s="53" t="inlineStr">
        <is>
          <t>Asserted: a claim we have not checked yet</t>
        </is>
      </c>
      <c r="C35" s="51" t="n"/>
      <c r="D35" s="52" t="n"/>
    </row>
    <row r="36" ht="15" customHeight="1" s="27">
      <c r="B36" s="54" t="inlineStr">
        <is>
          <t>Not tested: still to fill in</t>
        </is>
      </c>
      <c r="C36" s="51" t="n"/>
      <c r="D36" s="52" t="n"/>
    </row>
    <row r="38" ht="15" customHeight="1" s="27">
      <c r="B38" s="55" t="inlineStr">
        <is>
          <t>Notes</t>
        </is>
      </c>
    </row>
    <row r="39" ht="15" customHeight="1" s="27">
      <c r="B39" s="56" t="inlineStr">
        <is>
          <t>Cube stands in for all manual semantic layers. dbt and Snowflake SSV are not tested, so they are not separate columns.</t>
        </is>
      </c>
    </row>
    <row r="40" ht="15" customHeight="1" s="27">
      <c r="B40" s="56" t="inlineStr">
        <is>
          <t>Opportunity cost is calculated from the hours rows above, not tested separately.</t>
        </is>
      </c>
    </row>
    <row r="41" ht="15" customHeight="1" s="27">
      <c r="B41" s="56" t="inlineStr">
        <is>
          <t>Rows marked (new) were added to your list. Replace a cell's text with the measured number plus the tag as you test.</t>
        </is>
      </c>
    </row>
    <row r="42" ht="15" customHeight="1" s="27">
      <c r="B42" s="56" t="inlineStr">
        <is>
          <t>Where a unit asks for a number, put the number in the cell and keep the tag, e.g. 'Tested: 92% over 3 runs'.</t>
        </is>
      </c>
    </row>
    <row r="43" ht="15" customHeight="1" s="27">
      <c r="B43" s="56" t="inlineStr">
        <is>
          <t>Filled 2026-10-20 from the 4-route bake-off (10 questions x 3 runs, Sonnet 5.5 via headless Claude Code), security tests and a metric-change test. Evidence and method: docs/plan-1/findings.md. The Omni MCP and Omni columns share one engine; Omni's own UI was not driven. Omni cells marked 'per Omni docs' come from the docs, not our tests.</t>
        </is>
      </c>
    </row>
    <row r="44" ht="15" customHeight="1" s="27">
      <c r="B44" s="56" t="inlineStr">
        <is>
          <t>Round 2 (2026-10-20): re-filled the Not tested cells. Where a hands-on test was possible it was run (Omni metric change on a throwaway branch, latency, concurrency, Git trace). Where it was not (non-technical-user trials, Omni restricted-user, hours and licence cost) the cell stays Not tested and cites the docs and the blocker. Third-party coverage of Claude Dashboards is from tabulareditor.com.</t>
        </is>
      </c>
    </row>
  </sheetData>
  <mergeCells count="8">
    <mergeCell ref="B36:D36"/>
    <mergeCell ref="A21:A25"/>
    <mergeCell ref="A12:A20"/>
    <mergeCell ref="B35:D35"/>
    <mergeCell ref="B44:D44"/>
    <mergeCell ref="B43:D43"/>
    <mergeCell ref="B34:D34"/>
    <mergeCell ref="A5:A11"/>
  </mergeCells>
  <conditionalFormatting sqref="F5:I25">
    <cfRule type="expression" rank="0" priority="2" equalAverage="0" aboveAverage="0" dxfId="0" text="" percent="0" bottom="0">
      <formula>LEFT(F5,6)="Tested"</formula>
    </cfRule>
    <cfRule type="expression" rank="0" priority="3" equalAverage="0" aboveAverage="0" dxfId="1" text="" percent="0" bottom="0">
      <formula>LEFT(F5,8)="Asserted"</formula>
    </cfRule>
    <cfRule type="expression" rank="0" priority="4" equalAverage="0" aboveAverage="0" dxfId="2" text="" percent="0" bottom="0">
      <formula>LEFT(F5,10)="Not tested"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2026-10-20T19:18:25Z</dcterms:created>
  <dcterms:modified xsi:type="dcterms:W3CDTF">2026-10-20T19:35:51Z</dcterms:modified>
  <cp:revision>0</cp:revision>
</cp:coreProperties>
</file>